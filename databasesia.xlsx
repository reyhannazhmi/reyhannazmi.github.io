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020" tabRatio="600" firstSheet="0" activeTab="1" autoFilterDateGrouping="1"/>
  </bookViews>
  <sheets>
    <sheet name="Purchase" sheetId="1" state="visible" r:id="rId1"/>
    <sheet name="Inventory" sheetId="2" state="visible" r:id="rId2"/>
    <sheet name="Sales" sheetId="3" state="visible" r:id="rId3"/>
    <sheet name="Income" sheetId="4" state="visible" r:id="rId4"/>
    <sheet name="Cumulative Sales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-&quot;Rp&quot;* #,##0.00_-;\-&quot;Rp&quot;* #,##0.00_-;_-&quot;Rp&quot;* &quot;-&quot;??_-;_-@_-"/>
    <numFmt numFmtId="165" formatCode="&quot;Rp&quot;#,##0.00"/>
  </numFmts>
  <fonts count="3">
    <font>
      <name val="Aptos Narrow"/>
      <family val="2"/>
      <color theme="1"/>
      <sz val="11"/>
      <scheme val="minor"/>
    </font>
    <font>
      <name val="Aptos Narrow"/>
      <family val="2"/>
      <color theme="0"/>
      <sz val="11"/>
      <scheme val="minor"/>
    </font>
    <font>
      <name val="Aptos Narrow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14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horizontal="center"/>
    </xf>
    <xf numFmtId="0" fontId="2" fillId="0" borderId="0" pivotButton="0" quotePrefix="0" xfId="0"/>
    <xf numFmtId="14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164" fontId="0" fillId="0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pivotButton="0" quotePrefix="0" xfId="0"/>
    <xf numFmtId="165" fontId="2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F13" sqref="F13"/>
    </sheetView>
  </sheetViews>
  <sheetFormatPr baseColWidth="8" defaultRowHeight="14.5"/>
  <cols>
    <col width="12" customWidth="1" style="10" min="1" max="1"/>
    <col width="14" bestFit="1" customWidth="1" style="11" min="2" max="2"/>
  </cols>
  <sheetData>
    <row r="1">
      <c r="A1" s="5" t="n">
        <v>45911</v>
      </c>
      <c r="B1" s="6" t="inlineStr">
        <is>
          <t xml:space="preserve">Botol </t>
        </is>
      </c>
      <c r="C1" s="6" t="n">
        <v>3450</v>
      </c>
      <c r="D1" s="6" t="n">
        <v>1000</v>
      </c>
      <c r="E1" s="6">
        <f>C1*D1</f>
        <v/>
      </c>
    </row>
    <row r="2">
      <c r="A2" s="5" t="n">
        <v>45911</v>
      </c>
      <c r="B2" s="6" t="inlineStr">
        <is>
          <t>Sticker Label</t>
        </is>
      </c>
      <c r="C2" s="6" t="n">
        <v>5000</v>
      </c>
      <c r="D2" s="6" t="n">
        <v>2300</v>
      </c>
      <c r="E2" s="6">
        <f>C2*D2</f>
        <v/>
      </c>
    </row>
    <row r="3">
      <c r="A3" s="5" t="n">
        <v>45911</v>
      </c>
      <c r="B3" s="6" t="inlineStr">
        <is>
          <t>Tutup Botol</t>
        </is>
      </c>
      <c r="C3" s="6" t="n">
        <v>1200</v>
      </c>
      <c r="D3" s="6" t="n">
        <v>1000</v>
      </c>
      <c r="E3" s="6">
        <f>C3*D3</f>
        <v/>
      </c>
    </row>
    <row r="4">
      <c r="A4" s="7" t="n"/>
      <c r="B4" s="6" t="n"/>
      <c r="C4" s="6" t="n"/>
      <c r="D4" s="6" t="n"/>
      <c r="E4" s="6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"/>
  <sheetViews>
    <sheetView tabSelected="1" workbookViewId="0">
      <selection activeCell="G1" sqref="G1"/>
    </sheetView>
  </sheetViews>
  <sheetFormatPr baseColWidth="8" defaultRowHeight="14.5"/>
  <cols>
    <col width="14" bestFit="1" customWidth="1" style="11" min="2" max="2"/>
    <col width="14.36328125" customWidth="1" style="10" min="3" max="3"/>
    <col width="15.26953125" bestFit="1" customWidth="1" style="11" min="5" max="5"/>
    <col width="15.26953125" customWidth="1" style="11" min="6" max="6"/>
    <col width="15.26953125" bestFit="1" customWidth="1" style="11" min="7" max="7"/>
    <col width="13.81640625" bestFit="1" customWidth="1" style="11" min="8" max="8"/>
    <col width="15.90625" bestFit="1" customWidth="1" style="11" min="9" max="9"/>
    <col width="8.90625" customWidth="1" style="11" min="10" max="10"/>
  </cols>
  <sheetData>
    <row r="1">
      <c r="A1" t="inlineStr">
        <is>
          <t>No Item</t>
        </is>
      </c>
      <c r="B1" s="10" t="inlineStr">
        <is>
          <t>Product Name</t>
        </is>
      </c>
      <c r="C1" s="10" t="inlineStr">
        <is>
          <t>Stock Remaining</t>
        </is>
      </c>
      <c r="D1" s="10" t="inlineStr">
        <is>
          <t>Price</t>
        </is>
      </c>
      <c r="E1" s="10" t="inlineStr">
        <is>
          <t>HPP</t>
        </is>
      </c>
      <c r="F1" s="10" t="inlineStr">
        <is>
          <t>Harga Jual</t>
        </is>
      </c>
      <c r="G1" s="10" t="inlineStr">
        <is>
          <t>Total</t>
        </is>
      </c>
      <c r="H1" s="10" t="inlineStr">
        <is>
          <t>Gross Profit</t>
        </is>
      </c>
    </row>
    <row r="2">
      <c r="A2" t="inlineStr">
        <is>
          <t>ITEM-001</t>
        </is>
      </c>
      <c r="B2" t="inlineStr">
        <is>
          <t>Madu Multiflora</t>
        </is>
      </c>
      <c r="C2" s="10" t="n">
        <v>18</v>
      </c>
      <c r="D2" t="n">
        <v>84000</v>
      </c>
      <c r="E2" s="13">
        <f>C2*D2</f>
        <v/>
      </c>
      <c r="F2" t="n">
        <v>105000</v>
      </c>
      <c r="G2" s="13">
        <f>C2*J2</f>
        <v/>
      </c>
      <c r="H2" s="13">
        <f>G2-E2</f>
        <v/>
      </c>
      <c r="I2" s="13" t="n"/>
      <c r="J2" t="n">
        <v>105000</v>
      </c>
    </row>
    <row r="3">
      <c r="A3" t="inlineStr">
        <is>
          <t>ITEM-002</t>
        </is>
      </c>
      <c r="B3" t="inlineStr">
        <is>
          <t>Madu Klengkeng</t>
        </is>
      </c>
      <c r="C3" s="10" t="n">
        <v>17</v>
      </c>
      <c r="D3" t="n">
        <v>100000</v>
      </c>
      <c r="E3" s="13">
        <f>C3*D3</f>
        <v/>
      </c>
      <c r="F3" t="n">
        <v>125000</v>
      </c>
      <c r="G3" s="13">
        <f>C3*J3</f>
        <v/>
      </c>
      <c r="H3" s="13">
        <f>G3-E3</f>
        <v/>
      </c>
      <c r="J3" t="n">
        <v>125000</v>
      </c>
    </row>
    <row r="4">
      <c r="A4" t="inlineStr">
        <is>
          <t>ITEM-003</t>
        </is>
      </c>
      <c r="B4" t="inlineStr">
        <is>
          <t>Kapuk Randu</t>
        </is>
      </c>
      <c r="C4" s="10" t="n">
        <v>21</v>
      </c>
      <c r="D4" t="n">
        <v>96000</v>
      </c>
      <c r="E4" s="13">
        <f>C4*D4</f>
        <v/>
      </c>
      <c r="F4" t="n">
        <v>120000</v>
      </c>
      <c r="G4" s="13">
        <f>C4*J4</f>
        <v/>
      </c>
      <c r="H4" s="13">
        <f>G4-E4</f>
        <v/>
      </c>
      <c r="J4" t="n">
        <v>120000</v>
      </c>
    </row>
    <row r="5">
      <c r="A5" t="inlineStr">
        <is>
          <t>ITEM-004</t>
        </is>
      </c>
      <c r="B5" t="inlineStr">
        <is>
          <t>Madu Hutan</t>
        </is>
      </c>
      <c r="C5" s="10" t="n">
        <v>20</v>
      </c>
      <c r="D5" t="n">
        <v>80000</v>
      </c>
      <c r="E5" s="13">
        <f>C5*D5</f>
        <v/>
      </c>
      <c r="F5" t="n">
        <v>100000</v>
      </c>
      <c r="G5" s="13">
        <f>C5*J5</f>
        <v/>
      </c>
      <c r="H5" s="13">
        <f>G5-E5</f>
        <v/>
      </c>
      <c r="J5" t="n">
        <v>100000</v>
      </c>
    </row>
    <row r="6">
      <c r="A6" t="inlineStr">
        <is>
          <t>ITEM-005</t>
        </is>
      </c>
      <c r="B6" t="inlineStr">
        <is>
          <t>Madu Karet</t>
        </is>
      </c>
      <c r="C6" s="10" t="n">
        <v>20</v>
      </c>
      <c r="D6" t="n">
        <v>100000</v>
      </c>
      <c r="E6" s="13">
        <f>C6*D6</f>
        <v/>
      </c>
      <c r="F6" t="n">
        <v>125000</v>
      </c>
      <c r="G6" s="13">
        <f>C6*J6</f>
        <v/>
      </c>
      <c r="H6" s="13">
        <f>G6-E6</f>
        <v/>
      </c>
      <c r="J6" t="n">
        <v>125000</v>
      </c>
    </row>
    <row r="7">
      <c r="A7" t="inlineStr">
        <is>
          <t>ITEM-006</t>
        </is>
      </c>
      <c r="B7" t="inlineStr">
        <is>
          <t>Madu Cengkeh</t>
        </is>
      </c>
      <c r="C7" s="10" t="n">
        <v>27</v>
      </c>
      <c r="D7" t="n">
        <v>96000</v>
      </c>
      <c r="E7" s="13">
        <f>C7*D7</f>
        <v/>
      </c>
      <c r="F7" t="n">
        <v>120000</v>
      </c>
      <c r="G7" s="13">
        <f>C7*J7</f>
        <v/>
      </c>
      <c r="H7" s="13">
        <f>G7-E7</f>
        <v/>
      </c>
      <c r="J7" t="n">
        <v>120000</v>
      </c>
    </row>
    <row r="8">
      <c r="A8" t="inlineStr">
        <is>
          <t>ITEM-007</t>
        </is>
      </c>
      <c r="B8" t="inlineStr">
        <is>
          <t>Madu Kopi</t>
        </is>
      </c>
      <c r="C8" s="10" t="n">
        <v>22</v>
      </c>
      <c r="D8" t="n">
        <v>92000</v>
      </c>
      <c r="E8" s="13">
        <f>C8*D8</f>
        <v/>
      </c>
      <c r="F8" t="n">
        <v>115000</v>
      </c>
      <c r="G8" s="13">
        <f>C8*J8</f>
        <v/>
      </c>
      <c r="H8" s="13">
        <f>G8-E8</f>
        <v/>
      </c>
      <c r="J8" t="n">
        <v>115000</v>
      </c>
    </row>
    <row r="9">
      <c r="A9" t="inlineStr">
        <is>
          <t>ITEM-008</t>
        </is>
      </c>
      <c r="B9" t="inlineStr">
        <is>
          <t>Madu Rambutan</t>
        </is>
      </c>
      <c r="C9" s="10" t="n">
        <v>22</v>
      </c>
      <c r="D9" t="n">
        <v>92000</v>
      </c>
      <c r="E9" s="13">
        <f>C9*D9</f>
        <v/>
      </c>
      <c r="F9" t="n">
        <v>115000</v>
      </c>
      <c r="G9" s="13">
        <f>C9*J9</f>
        <v/>
      </c>
      <c r="H9" s="13">
        <f>G9-E9</f>
        <v/>
      </c>
      <c r="J9" t="n">
        <v>115000</v>
      </c>
    </row>
    <row r="10">
      <c r="A10" t="inlineStr">
        <is>
          <t>ITEM-009</t>
        </is>
      </c>
      <c r="B10" t="inlineStr">
        <is>
          <t>Madu Mangga</t>
        </is>
      </c>
      <c r="C10" s="10" t="n">
        <v>17</v>
      </c>
      <c r="D10" t="n">
        <v>92000</v>
      </c>
      <c r="E10" s="13">
        <f>C10*D10</f>
        <v/>
      </c>
      <c r="F10" t="n">
        <v>115000</v>
      </c>
      <c r="G10" s="13">
        <f>C10*J10</f>
        <v/>
      </c>
      <c r="H10" s="13">
        <f>G10-E10</f>
        <v/>
      </c>
      <c r="J10" t="n">
        <v>115000</v>
      </c>
    </row>
    <row r="11">
      <c r="A11" t="inlineStr">
        <is>
          <t>ITEM-010</t>
        </is>
      </c>
      <c r="B11" t="inlineStr">
        <is>
          <t>Madu Pahitan</t>
        </is>
      </c>
      <c r="C11" s="10" t="n">
        <v>32</v>
      </c>
      <c r="D11" t="n">
        <v>108000</v>
      </c>
      <c r="E11" s="13">
        <f>C11*D11</f>
        <v/>
      </c>
      <c r="F11" t="n">
        <v>135000</v>
      </c>
      <c r="G11" s="13">
        <f>C11*J11</f>
        <v/>
      </c>
      <c r="H11" s="13">
        <f>G11-E11</f>
        <v/>
      </c>
      <c r="J11" t="n">
        <v>135000</v>
      </c>
    </row>
    <row r="12">
      <c r="A12" t="inlineStr">
        <is>
          <t>ITEM-011</t>
        </is>
      </c>
      <c r="B12" t="inlineStr">
        <is>
          <t>Madu Royal Jelly</t>
        </is>
      </c>
      <c r="C12" s="10" t="n">
        <v>28</v>
      </c>
      <c r="D12" t="n">
        <v>280000</v>
      </c>
      <c r="E12" s="13">
        <f>C12*D12</f>
        <v/>
      </c>
      <c r="F12" t="n">
        <v>300000</v>
      </c>
      <c r="G12" s="13">
        <f>C12*J12</f>
        <v/>
      </c>
      <c r="H12" s="13">
        <f>G12-E12</f>
        <v/>
      </c>
      <c r="J12" t="n">
        <v>300000</v>
      </c>
    </row>
    <row r="13">
      <c r="A13" t="inlineStr">
        <is>
          <t>ITEM-012</t>
        </is>
      </c>
      <c r="B13" t="inlineStr">
        <is>
          <t>Honey Comb</t>
        </is>
      </c>
      <c r="C13" s="10" t="n">
        <v>22</v>
      </c>
      <c r="D13" t="n">
        <v>130000</v>
      </c>
      <c r="E13" s="13">
        <f>C13*D13</f>
        <v/>
      </c>
      <c r="F13" t="n">
        <v>162500</v>
      </c>
      <c r="G13" s="13">
        <f>C13*J13</f>
        <v/>
      </c>
      <c r="H13" s="13">
        <f>G13-E13</f>
        <v/>
      </c>
      <c r="J13" t="n">
        <v>162500</v>
      </c>
    </row>
    <row r="14">
      <c r="B14" s="9" t="inlineStr">
        <is>
          <t>TOTAL</t>
        </is>
      </c>
      <c r="E14" s="12">
        <f>SUM(E2:E13)</f>
        <v/>
      </c>
      <c r="F14" s="12" t="n"/>
      <c r="G14" s="12">
        <f>SUM(G2:G13)</f>
        <v/>
      </c>
      <c r="H14" s="12">
        <f>G14-E14</f>
        <v/>
      </c>
    </row>
  </sheetData>
  <mergeCells count="1">
    <mergeCell ref="B14:D1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6"/>
  <sheetViews>
    <sheetView topLeftCell="A18" workbookViewId="0">
      <selection activeCell="D32" sqref="D32"/>
    </sheetView>
  </sheetViews>
  <sheetFormatPr baseColWidth="8" defaultRowHeight="14.5"/>
  <cols>
    <col width="10.08984375" bestFit="1" customWidth="1" style="11" min="1" max="1"/>
    <col width="18.453125" customWidth="1" style="11" min="2" max="2"/>
    <col width="2.81640625" bestFit="1" customWidth="1" style="11" min="3" max="3"/>
  </cols>
  <sheetData>
    <row r="1">
      <c r="A1" s="1" t="n">
        <v>45911</v>
      </c>
      <c r="B1" t="inlineStr">
        <is>
          <t>Madu Multiflora</t>
        </is>
      </c>
      <c r="C1" t="n">
        <v>1</v>
      </c>
      <c r="D1" t="n">
        <v>105000</v>
      </c>
    </row>
    <row r="2">
      <c r="A2" s="1" t="n">
        <v>45911</v>
      </c>
      <c r="B2" t="inlineStr">
        <is>
          <t>Madu Kelengkeng</t>
        </is>
      </c>
      <c r="C2" t="n">
        <v>7</v>
      </c>
      <c r="D2">
        <f>C2*125000</f>
        <v/>
      </c>
    </row>
    <row r="3">
      <c r="A3" s="1" t="n">
        <v>45911</v>
      </c>
      <c r="B3" t="inlineStr">
        <is>
          <t>Kapuk Randu</t>
        </is>
      </c>
      <c r="C3" t="n">
        <v>5</v>
      </c>
      <c r="D3">
        <f>C3*120000</f>
        <v/>
      </c>
    </row>
    <row r="4">
      <c r="A4" s="1" t="n">
        <v>45911</v>
      </c>
      <c r="B4" t="inlineStr">
        <is>
          <t>Madu Hutan</t>
        </is>
      </c>
      <c r="C4" t="n">
        <v>4</v>
      </c>
      <c r="D4">
        <f>C4*100000</f>
        <v/>
      </c>
    </row>
    <row r="5">
      <c r="A5" s="1" t="n">
        <v>45911</v>
      </c>
      <c r="B5" t="inlineStr">
        <is>
          <t>Madu Karet</t>
        </is>
      </c>
      <c r="C5" t="n">
        <v>7</v>
      </c>
      <c r="D5">
        <f>C5*125000</f>
        <v/>
      </c>
    </row>
    <row r="6">
      <c r="A6" s="1" t="n">
        <v>45911</v>
      </c>
      <c r="B6" t="inlineStr">
        <is>
          <t>Madu Cengkeh</t>
        </is>
      </c>
      <c r="C6" t="n">
        <v>10</v>
      </c>
      <c r="D6">
        <f>C6*120000</f>
        <v/>
      </c>
    </row>
    <row r="7">
      <c r="A7" s="1" t="n">
        <v>45911</v>
      </c>
      <c r="B7" t="inlineStr">
        <is>
          <t>Madu Kopi</t>
        </is>
      </c>
      <c r="C7" t="n">
        <v>4</v>
      </c>
      <c r="D7">
        <f>C7*115000</f>
        <v/>
      </c>
    </row>
    <row r="8">
      <c r="A8" s="1" t="n">
        <v>45911</v>
      </c>
      <c r="B8" t="inlineStr">
        <is>
          <t>Madu Rambutan</t>
        </is>
      </c>
      <c r="C8" t="n">
        <v>5</v>
      </c>
      <c r="D8">
        <f>C8*115000</f>
        <v/>
      </c>
    </row>
    <row r="9">
      <c r="A9" s="1" t="n">
        <v>45911</v>
      </c>
      <c r="B9" t="inlineStr">
        <is>
          <t>Madu Mangga</t>
        </is>
      </c>
      <c r="C9" t="n">
        <v>5</v>
      </c>
      <c r="D9">
        <f>C9*115000</f>
        <v/>
      </c>
    </row>
    <row r="10">
      <c r="A10" s="1" t="n">
        <v>45911</v>
      </c>
      <c r="B10" t="inlineStr">
        <is>
          <t>Madu Pahitan</t>
        </is>
      </c>
      <c r="C10" t="n">
        <v>4</v>
      </c>
      <c r="D10">
        <f>C10*135000</f>
        <v/>
      </c>
    </row>
    <row r="11">
      <c r="A11" s="1" t="n">
        <v>45911</v>
      </c>
      <c r="B11" t="inlineStr">
        <is>
          <t>Madu Royal Jelly</t>
        </is>
      </c>
      <c r="C11" t="n">
        <v>6</v>
      </c>
      <c r="D11">
        <f>C11*145000</f>
        <v/>
      </c>
    </row>
    <row r="12">
      <c r="A12" s="1" t="n">
        <v>45911</v>
      </c>
      <c r="B12" t="inlineStr">
        <is>
          <t>Honey Comb</t>
        </is>
      </c>
      <c r="C12" t="n">
        <v>5</v>
      </c>
      <c r="D12">
        <f>C12*162500</f>
        <v/>
      </c>
    </row>
    <row r="13">
      <c r="A13" s="1" t="n">
        <v>45911</v>
      </c>
      <c r="B13" t="inlineStr">
        <is>
          <t>Madu Kelengkeng</t>
        </is>
      </c>
      <c r="C13" t="n">
        <v>5</v>
      </c>
      <c r="D13">
        <f>C13*100000</f>
        <v/>
      </c>
    </row>
    <row r="14">
      <c r="A14" s="1" t="n">
        <v>45911</v>
      </c>
      <c r="B14" t="inlineStr">
        <is>
          <t>Madu Kopi</t>
        </is>
      </c>
      <c r="C14" t="n">
        <v>4</v>
      </c>
      <c r="D14">
        <f>C14*115000</f>
        <v/>
      </c>
    </row>
    <row r="15">
      <c r="A15" s="1" t="n">
        <v>45911</v>
      </c>
      <c r="B15" t="inlineStr">
        <is>
          <t>Madu Multiflora</t>
        </is>
      </c>
      <c r="C15" t="n">
        <v>3</v>
      </c>
      <c r="D15">
        <f>C15*105000</f>
        <v/>
      </c>
    </row>
    <row r="16">
      <c r="A16" s="1" t="n">
        <v>45911</v>
      </c>
      <c r="B16" t="inlineStr">
        <is>
          <t>Madu Cengkeh</t>
        </is>
      </c>
      <c r="C16" t="n">
        <v>4</v>
      </c>
      <c r="D16">
        <f>C16*120000</f>
        <v/>
      </c>
    </row>
    <row r="17">
      <c r="A17" s="1" t="n">
        <v>45911</v>
      </c>
      <c r="B17" t="inlineStr">
        <is>
          <t>Royal Jelly</t>
        </is>
      </c>
      <c r="C17" t="n">
        <v>2</v>
      </c>
      <c r="D17">
        <f>C17*300000</f>
        <v/>
      </c>
    </row>
    <row r="18">
      <c r="A18" s="1" t="n">
        <v>45911</v>
      </c>
      <c r="B18" t="inlineStr">
        <is>
          <t>Honey Comb</t>
        </is>
      </c>
      <c r="C18" t="n">
        <v>1</v>
      </c>
      <c r="D18">
        <f>C18*162500</f>
        <v/>
      </c>
    </row>
    <row r="19">
      <c r="A19" t="inlineStr">
        <is>
          <t>14/11/25</t>
        </is>
      </c>
      <c r="B19" t="inlineStr">
        <is>
          <t>Madu Mangga</t>
        </is>
      </c>
      <c r="C19" t="n">
        <v>115000</v>
      </c>
      <c r="D19" t="n">
        <v>1</v>
      </c>
      <c r="E19" t="n">
        <v>115000</v>
      </c>
    </row>
    <row r="20">
      <c r="A20" t="inlineStr">
        <is>
          <t>14/11/25</t>
        </is>
      </c>
      <c r="B20" t="inlineStr">
        <is>
          <t>Madu Pahitan</t>
        </is>
      </c>
      <c r="C20" t="n">
        <v>135000</v>
      </c>
      <c r="D20" t="n">
        <v>3</v>
      </c>
      <c r="E20" t="n">
        <v>405000</v>
      </c>
    </row>
    <row r="21">
      <c r="A21" t="inlineStr">
        <is>
          <t>14/11/25</t>
        </is>
      </c>
      <c r="B21" t="inlineStr">
        <is>
          <t>Madu Kapuk Randu</t>
        </is>
      </c>
      <c r="C21" t="n">
        <v>120000</v>
      </c>
      <c r="D21" t="n">
        <v>2</v>
      </c>
      <c r="E21" t="n">
        <v>240000</v>
      </c>
    </row>
    <row r="22">
      <c r="A22" t="inlineStr">
        <is>
          <t>14/11/25</t>
        </is>
      </c>
      <c r="B22" t="inlineStr">
        <is>
          <t>Honeycomb</t>
        </is>
      </c>
      <c r="C22" t="n">
        <v>166000</v>
      </c>
      <c r="D22" t="n">
        <v>13</v>
      </c>
      <c r="E22" t="n">
        <v>2158000</v>
      </c>
    </row>
    <row r="23">
      <c r="A23" t="inlineStr">
        <is>
          <t>14/11/25</t>
        </is>
      </c>
      <c r="B23" t="inlineStr">
        <is>
          <t>Madu Kelengkeng</t>
        </is>
      </c>
      <c r="C23" t="n">
        <v>160000</v>
      </c>
      <c r="D23" t="n">
        <v>8</v>
      </c>
      <c r="E23" t="n">
        <v>1280000</v>
      </c>
    </row>
    <row r="24">
      <c r="A24" t="inlineStr">
        <is>
          <t>14/11/25</t>
        </is>
      </c>
      <c r="B24" t="inlineStr">
        <is>
          <t>Madu Kelengkeng</t>
        </is>
      </c>
      <c r="C24" t="n">
        <v>160000</v>
      </c>
      <c r="D24" t="n">
        <v>2</v>
      </c>
      <c r="E24" t="n">
        <v>320000</v>
      </c>
    </row>
    <row r="25">
      <c r="A25" t="inlineStr">
        <is>
          <t>14/11/25</t>
        </is>
      </c>
      <c r="B25" t="inlineStr">
        <is>
          <t>Madu Pahitan</t>
        </is>
      </c>
      <c r="C25" t="n">
        <v>135000</v>
      </c>
      <c r="D25" t="n">
        <v>1</v>
      </c>
      <c r="E25" t="n">
        <v>135000</v>
      </c>
    </row>
    <row r="26">
      <c r="A26" t="inlineStr">
        <is>
          <t>14/11/25</t>
        </is>
      </c>
      <c r="B26" t="inlineStr">
        <is>
          <t>Honeycomb</t>
        </is>
      </c>
      <c r="C26" t="n">
        <v>166000</v>
      </c>
      <c r="D26" t="n">
        <v>3</v>
      </c>
      <c r="E26" t="n">
        <v>498000</v>
      </c>
    </row>
    <row r="27">
      <c r="A27" t="inlineStr">
        <is>
          <t>14/11/25</t>
        </is>
      </c>
      <c r="B27" t="inlineStr">
        <is>
          <t>Madu Pahitan</t>
        </is>
      </c>
      <c r="C27" t="n">
        <v>135000</v>
      </c>
      <c r="D27" t="n">
        <v>2</v>
      </c>
      <c r="E27" t="n">
        <v>270000</v>
      </c>
    </row>
    <row r="28">
      <c r="A28" t="inlineStr">
        <is>
          <t>14/11/25</t>
        </is>
      </c>
      <c r="B28" t="inlineStr">
        <is>
          <t>Madu Multiflora</t>
        </is>
      </c>
      <c r="C28" t="n">
        <v>105000</v>
      </c>
      <c r="D28" t="n">
        <v>1</v>
      </c>
      <c r="E28" t="n">
        <v>105000</v>
      </c>
    </row>
    <row r="29">
      <c r="A29" t="inlineStr">
        <is>
          <t>14/11/25</t>
        </is>
      </c>
      <c r="B29" t="inlineStr">
        <is>
          <t>Madu Karet</t>
        </is>
      </c>
      <c r="C29" t="n">
        <v>160000</v>
      </c>
      <c r="D29" t="n">
        <v>1</v>
      </c>
      <c r="E29" t="n">
        <v>160000</v>
      </c>
    </row>
    <row r="30">
      <c r="A30" t="inlineStr">
        <is>
          <t>14/11/25</t>
        </is>
      </c>
      <c r="B30" t="inlineStr">
        <is>
          <t>Madu Cengkeh</t>
        </is>
      </c>
      <c r="C30" t="n">
        <v>120000</v>
      </c>
      <c r="D30" t="n">
        <v>5</v>
      </c>
      <c r="E30" t="n">
        <v>600000</v>
      </c>
    </row>
    <row r="31">
      <c r="A31" t="inlineStr">
        <is>
          <t>14/11/25</t>
        </is>
      </c>
      <c r="B31" t="inlineStr">
        <is>
          <t>Madu Rambutan</t>
        </is>
      </c>
      <c r="C31" t="n">
        <v>115000</v>
      </c>
      <c r="D31" t="n">
        <v>1</v>
      </c>
      <c r="E31" t="n">
        <v>115000</v>
      </c>
    </row>
    <row r="32">
      <c r="A32" t="inlineStr">
        <is>
          <t>14/11/25</t>
        </is>
      </c>
      <c r="B32" t="inlineStr">
        <is>
          <t>Madu Mangga</t>
        </is>
      </c>
      <c r="C32" t="n">
        <v>115000</v>
      </c>
      <c r="D32" t="n">
        <v>1</v>
      </c>
      <c r="E32" t="n">
        <v>115000</v>
      </c>
    </row>
    <row r="33">
      <c r="A33" t="inlineStr">
        <is>
          <t>14/11/25</t>
        </is>
      </c>
      <c r="B33" t="inlineStr">
        <is>
          <t>Madu Kelengkeng</t>
        </is>
      </c>
      <c r="C33" t="n">
        <v>160000</v>
      </c>
      <c r="D33" t="n">
        <v>5</v>
      </c>
      <c r="E33" t="n">
        <v>800000</v>
      </c>
    </row>
    <row r="34">
      <c r="A34" t="inlineStr">
        <is>
          <t>14/11/25</t>
        </is>
      </c>
      <c r="B34" t="inlineStr">
        <is>
          <t>Madu Kapuk Randu</t>
        </is>
      </c>
      <c r="C34" t="n">
        <v>120000</v>
      </c>
      <c r="D34" t="n">
        <v>4</v>
      </c>
      <c r="E34" t="n">
        <v>480000</v>
      </c>
    </row>
    <row r="35">
      <c r="A35" t="inlineStr">
        <is>
          <t>14/11/25</t>
        </is>
      </c>
      <c r="B35" t="inlineStr">
        <is>
          <t>Madu Mangga</t>
        </is>
      </c>
      <c r="C35" t="n">
        <v>115000</v>
      </c>
      <c r="D35" t="n">
        <v>4</v>
      </c>
      <c r="E35" t="n">
        <v>460000</v>
      </c>
    </row>
    <row r="36">
      <c r="A36" t="inlineStr">
        <is>
          <t>14/11/25</t>
        </is>
      </c>
      <c r="B36" t="inlineStr">
        <is>
          <t>Madu Kopi</t>
        </is>
      </c>
      <c r="C36" t="n">
        <v>115000</v>
      </c>
      <c r="D36" t="n">
        <v>7</v>
      </c>
      <c r="E36" t="n">
        <v>805000</v>
      </c>
    </row>
    <row r="37">
      <c r="A37" t="inlineStr">
        <is>
          <t>14/11/25</t>
        </is>
      </c>
      <c r="B37" t="inlineStr">
        <is>
          <t>Madu Hutan</t>
        </is>
      </c>
      <c r="C37" t="n">
        <v>100000</v>
      </c>
      <c r="D37" t="n">
        <v>6</v>
      </c>
      <c r="E37" t="n">
        <v>600000</v>
      </c>
    </row>
    <row r="38">
      <c r="A38" t="inlineStr">
        <is>
          <t>14/11/25</t>
        </is>
      </c>
      <c r="B38" t="inlineStr">
        <is>
          <t>Madu Kopi</t>
        </is>
      </c>
      <c r="C38" t="n">
        <v>115000</v>
      </c>
      <c r="D38" t="n">
        <v>4</v>
      </c>
      <c r="E38" t="n">
        <v>460000</v>
      </c>
    </row>
    <row r="39">
      <c r="A39" t="inlineStr">
        <is>
          <t>14/11/25</t>
        </is>
      </c>
      <c r="B39" t="inlineStr">
        <is>
          <t>Honeycomb</t>
        </is>
      </c>
      <c r="C39" t="n">
        <v>166000</v>
      </c>
      <c r="D39" t="n">
        <v>10</v>
      </c>
      <c r="E39" t="n">
        <v>1660000</v>
      </c>
    </row>
    <row r="40">
      <c r="A40" t="inlineStr">
        <is>
          <t>14/11/25</t>
        </is>
      </c>
      <c r="B40" t="inlineStr">
        <is>
          <t>Madu Cengkeh</t>
        </is>
      </c>
      <c r="C40" t="n">
        <v>120000</v>
      </c>
      <c r="D40" t="n">
        <v>2</v>
      </c>
      <c r="E40" t="n">
        <v>240000</v>
      </c>
    </row>
    <row r="41">
      <c r="A41" t="inlineStr">
        <is>
          <t>14/11/25</t>
        </is>
      </c>
      <c r="B41" t="inlineStr">
        <is>
          <t>Madu Multiflora</t>
        </is>
      </c>
      <c r="C41" t="n">
        <v>105000</v>
      </c>
      <c r="D41" t="n">
        <v>7</v>
      </c>
      <c r="E41" t="n">
        <v>735000</v>
      </c>
    </row>
    <row r="42">
      <c r="A42" t="inlineStr">
        <is>
          <t>14/11/25</t>
        </is>
      </c>
      <c r="B42" t="inlineStr">
        <is>
          <t>Madu Karet</t>
        </is>
      </c>
      <c r="C42" t="n">
        <v>160000</v>
      </c>
      <c r="D42" t="n">
        <v>1</v>
      </c>
      <c r="E42" t="n">
        <v>160000</v>
      </c>
    </row>
    <row r="43">
      <c r="A43" t="inlineStr">
        <is>
          <t>14/11/25</t>
        </is>
      </c>
      <c r="B43" t="inlineStr">
        <is>
          <t>Madu Rambutan</t>
        </is>
      </c>
      <c r="C43" t="n">
        <v>115000</v>
      </c>
      <c r="D43" t="n">
        <v>2</v>
      </c>
      <c r="E43" t="n">
        <v>230000</v>
      </c>
    </row>
    <row r="44">
      <c r="A44" t="inlineStr">
        <is>
          <t>14/11/25</t>
        </is>
      </c>
      <c r="B44" t="inlineStr">
        <is>
          <t>Royal Jelly</t>
        </is>
      </c>
      <c r="C44" t="n">
        <v>300000</v>
      </c>
      <c r="D44" t="n">
        <v>5</v>
      </c>
      <c r="E44" t="n">
        <v>1500000</v>
      </c>
    </row>
    <row r="45">
      <c r="A45" t="inlineStr">
        <is>
          <t>17/11/25</t>
        </is>
      </c>
      <c r="B45" t="inlineStr">
        <is>
          <t>Madu Kelengkeng</t>
        </is>
      </c>
      <c r="C45" t="n">
        <v>160000</v>
      </c>
      <c r="D45" t="n">
        <v>2</v>
      </c>
      <c r="E45" t="n">
        <v>320000</v>
      </c>
    </row>
    <row r="46">
      <c r="A46" t="inlineStr">
        <is>
          <t>17/11/25</t>
        </is>
      </c>
      <c r="B46" t="inlineStr">
        <is>
          <t>Madu Kelengkeng</t>
        </is>
      </c>
      <c r="C46" t="n">
        <v>160000</v>
      </c>
      <c r="D46" t="n">
        <v>2</v>
      </c>
      <c r="E46" t="n">
        <v>320000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0"/>
  <sheetViews>
    <sheetView zoomScale="91" workbookViewId="0">
      <selection activeCell="G2" sqref="G2"/>
    </sheetView>
  </sheetViews>
  <sheetFormatPr baseColWidth="8" defaultRowHeight="14.5"/>
  <cols>
    <col width="11.08984375" bestFit="1" customWidth="1" style="11" min="1" max="1"/>
    <col width="15.90625" bestFit="1" customWidth="1" style="11" min="2" max="2"/>
    <col width="11.1796875" bestFit="1" customWidth="1" style="11" min="4" max="4"/>
    <col width="11" bestFit="1" customWidth="1" style="11" min="6" max="6"/>
    <col width="14" bestFit="1" customWidth="1" style="11" min="8" max="8"/>
  </cols>
  <sheetData>
    <row r="1">
      <c r="A1" s="10" t="inlineStr">
        <is>
          <t>Date</t>
        </is>
      </c>
      <c r="B1" s="10" t="inlineStr">
        <is>
          <t>Product Name</t>
        </is>
      </c>
      <c r="C1" s="10" t="inlineStr">
        <is>
          <t>Quantity</t>
        </is>
      </c>
      <c r="D1" s="10" t="inlineStr">
        <is>
          <t>Total Income</t>
        </is>
      </c>
      <c r="E1" s="10" t="inlineStr">
        <is>
          <t>COGS</t>
        </is>
      </c>
      <c r="F1" s="10" t="inlineStr">
        <is>
          <t>Gross Profit</t>
        </is>
      </c>
    </row>
    <row r="2">
      <c r="A2" s="1" t="n">
        <v>45911</v>
      </c>
      <c r="B2" t="inlineStr">
        <is>
          <t>Madu Multiflora</t>
        </is>
      </c>
      <c r="C2" t="n">
        <v>1</v>
      </c>
      <c r="D2" t="n">
        <v>105000</v>
      </c>
      <c r="E2">
        <f>J2*C2</f>
        <v/>
      </c>
      <c r="F2">
        <f>D2-E2</f>
        <v/>
      </c>
      <c r="H2" s="2" t="inlineStr">
        <is>
          <t>Madu Multiflora</t>
        </is>
      </c>
      <c r="I2" s="2" t="n">
        <v>34</v>
      </c>
      <c r="J2" s="2" t="n">
        <v>84000</v>
      </c>
    </row>
    <row r="3">
      <c r="A3" s="1" t="n">
        <v>45911</v>
      </c>
      <c r="B3" t="inlineStr">
        <is>
          <t>Madu Kelengkeng</t>
        </is>
      </c>
      <c r="C3" t="n">
        <v>7</v>
      </c>
      <c r="D3">
        <f>C3*125000</f>
        <v/>
      </c>
      <c r="E3">
        <f>J3*C3</f>
        <v/>
      </c>
      <c r="F3">
        <f>D3-E3</f>
        <v/>
      </c>
      <c r="H3" s="2" t="inlineStr">
        <is>
          <t>Madu Klengkeng</t>
        </is>
      </c>
      <c r="I3" s="2" t="n">
        <v>19</v>
      </c>
      <c r="J3" s="2" t="n">
        <v>100000</v>
      </c>
    </row>
    <row r="4">
      <c r="A4" s="1" t="n">
        <v>45911</v>
      </c>
      <c r="B4" t="inlineStr">
        <is>
          <t>Kapuk Randu</t>
        </is>
      </c>
      <c r="C4" t="n">
        <v>5</v>
      </c>
      <c r="D4">
        <f>C4*120000</f>
        <v/>
      </c>
      <c r="E4">
        <f>J4*C4</f>
        <v/>
      </c>
      <c r="F4">
        <f>D4-E4</f>
        <v/>
      </c>
      <c r="H4" s="2" t="inlineStr">
        <is>
          <t>Kapuk Randu</t>
        </is>
      </c>
      <c r="I4" s="2" t="n">
        <v>22</v>
      </c>
      <c r="J4" s="2" t="n">
        <v>96000</v>
      </c>
    </row>
    <row r="5">
      <c r="A5" s="1" t="n">
        <v>45911</v>
      </c>
      <c r="B5" t="inlineStr">
        <is>
          <t>Madu Hutan</t>
        </is>
      </c>
      <c r="C5" t="n">
        <v>4</v>
      </c>
      <c r="D5">
        <f>C5*100000</f>
        <v/>
      </c>
      <c r="E5">
        <f>J5*C5</f>
        <v/>
      </c>
      <c r="F5">
        <f>D5-E5</f>
        <v/>
      </c>
      <c r="H5" s="2" t="inlineStr">
        <is>
          <t>Madu Hutan</t>
        </is>
      </c>
      <c r="I5" s="2" t="n">
        <v>20</v>
      </c>
      <c r="J5" s="2" t="n">
        <v>80000</v>
      </c>
    </row>
    <row r="6">
      <c r="A6" s="1" t="n">
        <v>45911</v>
      </c>
      <c r="B6" t="inlineStr">
        <is>
          <t>Madu Karet</t>
        </is>
      </c>
      <c r="C6" t="n">
        <v>7</v>
      </c>
      <c r="D6">
        <f>C6*125000</f>
        <v/>
      </c>
      <c r="E6">
        <f>J6*C6</f>
        <v/>
      </c>
      <c r="F6">
        <f>D6-E6</f>
        <v/>
      </c>
      <c r="H6" s="2" t="inlineStr">
        <is>
          <t>Madu Karet</t>
        </is>
      </c>
      <c r="I6" s="2" t="n">
        <v>20</v>
      </c>
      <c r="J6" s="2" t="n">
        <v>100000</v>
      </c>
    </row>
    <row r="7">
      <c r="A7" s="1" t="n">
        <v>45911</v>
      </c>
      <c r="B7" t="inlineStr">
        <is>
          <t>Madu Cengkeh</t>
        </is>
      </c>
      <c r="C7" t="n">
        <v>10</v>
      </c>
      <c r="D7">
        <f>C7*120000</f>
        <v/>
      </c>
      <c r="E7">
        <f>J7*C7</f>
        <v/>
      </c>
      <c r="F7">
        <f>D7-E7</f>
        <v/>
      </c>
      <c r="H7" s="2" t="inlineStr">
        <is>
          <t>Madu Cengkeh</t>
        </is>
      </c>
      <c r="I7" s="2" t="n">
        <v>32</v>
      </c>
      <c r="J7" s="2" t="n">
        <v>96000</v>
      </c>
    </row>
    <row r="8">
      <c r="A8" s="1" t="n">
        <v>45911</v>
      </c>
      <c r="B8" t="inlineStr">
        <is>
          <t>Madu Kopi</t>
        </is>
      </c>
      <c r="C8" t="n">
        <v>4</v>
      </c>
      <c r="D8">
        <f>C8*115000</f>
        <v/>
      </c>
      <c r="E8">
        <f>J8*C8</f>
        <v/>
      </c>
      <c r="F8">
        <f>D8-E8</f>
        <v/>
      </c>
      <c r="H8" s="2" t="inlineStr">
        <is>
          <t>Madu Kopi</t>
        </is>
      </c>
      <c r="I8" s="2" t="n">
        <v>22</v>
      </c>
      <c r="J8" s="2" t="n">
        <v>92000</v>
      </c>
    </row>
    <row r="9">
      <c r="A9" s="1" t="n">
        <v>45911</v>
      </c>
      <c r="B9" t="inlineStr">
        <is>
          <t>Madu Rambutan</t>
        </is>
      </c>
      <c r="C9" t="n">
        <v>5</v>
      </c>
      <c r="D9">
        <f>C9*115000</f>
        <v/>
      </c>
      <c r="E9">
        <f>J9*C9</f>
        <v/>
      </c>
      <c r="F9">
        <f>D9-E9</f>
        <v/>
      </c>
      <c r="H9" s="2" t="inlineStr">
        <is>
          <t>Madu Rambutan</t>
        </is>
      </c>
      <c r="I9" s="2" t="n">
        <v>25</v>
      </c>
      <c r="J9" s="2" t="n">
        <v>92000</v>
      </c>
    </row>
    <row r="10">
      <c r="A10" s="1" t="n">
        <v>45911</v>
      </c>
      <c r="B10" t="inlineStr">
        <is>
          <t>Madu Mangga</t>
        </is>
      </c>
      <c r="C10" t="n">
        <v>5</v>
      </c>
      <c r="D10">
        <f>C10*115000</f>
        <v/>
      </c>
      <c r="E10">
        <f>J10*C10</f>
        <v/>
      </c>
      <c r="F10">
        <f>D10-E10</f>
        <v/>
      </c>
      <c r="H10" s="2" t="inlineStr">
        <is>
          <t>Madu Mangga</t>
        </is>
      </c>
      <c r="I10" s="2" t="n">
        <v>18</v>
      </c>
      <c r="J10" s="2" t="n">
        <v>92000</v>
      </c>
    </row>
    <row r="11">
      <c r="A11" s="1" t="n">
        <v>45911</v>
      </c>
      <c r="B11" t="inlineStr">
        <is>
          <t>Madu Pahitan</t>
        </is>
      </c>
      <c r="C11" t="n">
        <v>4</v>
      </c>
      <c r="D11">
        <f>C11*135000</f>
        <v/>
      </c>
      <c r="E11">
        <f>J11*C11</f>
        <v/>
      </c>
      <c r="F11">
        <f>D11-E11</f>
        <v/>
      </c>
      <c r="H11" s="2" t="inlineStr">
        <is>
          <t>Madu Pahitan</t>
        </is>
      </c>
      <c r="I11" s="2" t="n">
        <v>35</v>
      </c>
      <c r="J11" s="2" t="n">
        <v>108000</v>
      </c>
    </row>
    <row r="12">
      <c r="A12" s="1" t="n">
        <v>45911</v>
      </c>
      <c r="B12" t="inlineStr">
        <is>
          <t>Madu Royal Jelly</t>
        </is>
      </c>
      <c r="C12" t="n">
        <v>6</v>
      </c>
      <c r="D12">
        <f>C12*300000</f>
        <v/>
      </c>
      <c r="E12">
        <f>J12*C12</f>
        <v/>
      </c>
      <c r="F12">
        <f>D12-E12</f>
        <v/>
      </c>
      <c r="H12" s="2" t="inlineStr">
        <is>
          <t>Madu Royal Jelly</t>
        </is>
      </c>
      <c r="I12" s="2" t="n">
        <v>28</v>
      </c>
      <c r="J12" s="2">
        <f>350000*80%</f>
        <v/>
      </c>
    </row>
    <row r="13">
      <c r="A13" s="1" t="n">
        <v>45911</v>
      </c>
      <c r="B13" t="inlineStr">
        <is>
          <t>Honey Comb</t>
        </is>
      </c>
      <c r="C13" t="n">
        <v>5</v>
      </c>
      <c r="D13">
        <f>C13*162500</f>
        <v/>
      </c>
      <c r="E13">
        <f>J13*C13</f>
        <v/>
      </c>
      <c r="F13">
        <f>D13-E13</f>
        <v/>
      </c>
      <c r="H13" s="2" t="inlineStr">
        <is>
          <t>Honey Comb</t>
        </is>
      </c>
      <c r="I13" s="2" t="n">
        <v>25</v>
      </c>
      <c r="J13" s="2" t="n">
        <v>130000</v>
      </c>
    </row>
    <row r="14">
      <c r="A14" s="1" t="n">
        <v>45911</v>
      </c>
      <c r="B14" t="inlineStr">
        <is>
          <t>Madu Kelengkeng</t>
        </is>
      </c>
      <c r="C14" t="n">
        <v>5</v>
      </c>
      <c r="D14">
        <f>C14*125000</f>
        <v/>
      </c>
      <c r="E14">
        <f>J3*C14</f>
        <v/>
      </c>
      <c r="F14">
        <f>D14-E14</f>
        <v/>
      </c>
    </row>
    <row r="15">
      <c r="A15" s="1" t="n">
        <v>45911</v>
      </c>
      <c r="B15" t="inlineStr">
        <is>
          <t>Madu Kopi</t>
        </is>
      </c>
      <c r="C15" t="n">
        <v>4</v>
      </c>
      <c r="D15">
        <f>C15*115000</f>
        <v/>
      </c>
      <c r="E15">
        <f>J8*C15</f>
        <v/>
      </c>
      <c r="F15">
        <f>D15-E15</f>
        <v/>
      </c>
    </row>
    <row r="16">
      <c r="A16" s="1" t="n">
        <v>45911</v>
      </c>
      <c r="B16" t="inlineStr">
        <is>
          <t>Madu Multiflora</t>
        </is>
      </c>
      <c r="C16" t="n">
        <v>3</v>
      </c>
      <c r="D16">
        <f>C16*105000</f>
        <v/>
      </c>
      <c r="E16">
        <f>J2*C16</f>
        <v/>
      </c>
      <c r="F16">
        <f>D16-E16</f>
        <v/>
      </c>
    </row>
    <row r="17">
      <c r="A17" s="1" t="n">
        <v>45911</v>
      </c>
      <c r="B17" t="inlineStr">
        <is>
          <t>Madu Cengkeh</t>
        </is>
      </c>
      <c r="C17" t="n">
        <v>4</v>
      </c>
      <c r="D17">
        <f>C17*120000</f>
        <v/>
      </c>
      <c r="E17">
        <f>J7*C17</f>
        <v/>
      </c>
      <c r="F17">
        <f>D17-E17</f>
        <v/>
      </c>
    </row>
    <row r="18">
      <c r="A18" s="1" t="n">
        <v>45911</v>
      </c>
      <c r="B18" t="inlineStr">
        <is>
          <t>Royal Jelly</t>
        </is>
      </c>
      <c r="C18" t="n">
        <v>2</v>
      </c>
      <c r="D18">
        <f>C18*300000</f>
        <v/>
      </c>
      <c r="E18">
        <f>J12*C18</f>
        <v/>
      </c>
      <c r="F18">
        <f>D18-E18</f>
        <v/>
      </c>
    </row>
    <row r="19">
      <c r="A19" s="1" t="n">
        <v>45911</v>
      </c>
      <c r="B19" t="inlineStr">
        <is>
          <t>Honey Comb</t>
        </is>
      </c>
      <c r="C19" t="n">
        <v>1</v>
      </c>
      <c r="D19">
        <f>C19*162500</f>
        <v/>
      </c>
      <c r="E19">
        <f>J13*C19</f>
        <v/>
      </c>
      <c r="F19">
        <f>D19-E19</f>
        <v/>
      </c>
    </row>
    <row r="20">
      <c r="A20" s="4" t="inlineStr">
        <is>
          <t>TOTAL</t>
        </is>
      </c>
      <c r="B20" s="4" t="n"/>
      <c r="C20" s="4" t="n"/>
      <c r="D20" s="4">
        <f>SUM(D2:D19)</f>
        <v/>
      </c>
      <c r="E20" s="4">
        <f>SUM(E2:E19)</f>
        <v/>
      </c>
      <c r="F20" s="4">
        <f>SUM(F2:F19)</f>
        <v/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D14" sqref="D14"/>
    </sheetView>
  </sheetViews>
  <sheetFormatPr baseColWidth="8"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reyhan nazhminazhif</dc:creator>
  <dcterms:created xsi:type="dcterms:W3CDTF">2025-11-09T05:02:23Z</dcterms:created>
  <dcterms:modified xsi:type="dcterms:W3CDTF">2025-11-26T09:18:33Z</dcterms:modified>
  <cp:lastModifiedBy>reyhan nazhminazhif</cp:lastModifiedBy>
</cp:coreProperties>
</file>