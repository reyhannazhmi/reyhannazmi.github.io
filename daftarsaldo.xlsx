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FIKSBGT2\BeeTheOne1\"/>
    </mc:Choice>
  </mc:AlternateContent>
  <xr:revisionPtr revIDLastSave="0" documentId="13_ncr:1_{01C47D61-2F01-4E39-9BE5-8D57D130EC8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ftar saldo awal" sheetId="1" r:id="rId1"/>
    <sheet name="laba rugi" sheetId="5" r:id="rId2"/>
    <sheet name="perubahan ekuitas" sheetId="7" r:id="rId3"/>
    <sheet name="posisi keuangan" sheetId="6" r:id="rId4"/>
    <sheet name="Depreciation Detail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27" i="6"/>
  <c r="C24" i="6"/>
  <c r="B23" i="6"/>
  <c r="C18" i="6"/>
  <c r="B17" i="6"/>
  <c r="B16" i="6"/>
  <c r="B15" i="6"/>
  <c r="B14" i="6"/>
  <c r="B13" i="6"/>
  <c r="B12" i="6"/>
  <c r="B11" i="6"/>
  <c r="B4" i="6"/>
  <c r="B5" i="6"/>
  <c r="B6" i="6"/>
  <c r="B7" i="6"/>
  <c r="B3" i="6"/>
  <c r="C8" i="6" s="1"/>
  <c r="C19" i="6" s="1"/>
  <c r="C18" i="5"/>
  <c r="C6" i="5"/>
  <c r="B3" i="5"/>
  <c r="B2" i="5"/>
  <c r="C4" i="5" s="1"/>
  <c r="C7" i="5" s="1"/>
  <c r="C19" i="5" s="1"/>
  <c r="E27" i="1"/>
  <c r="D27" i="1"/>
  <c r="B3" i="7" l="1"/>
  <c r="B4" i="7" s="1"/>
  <c r="B28" i="6"/>
  <c r="C29" i="6" s="1"/>
  <c r="C31" i="6" s="1"/>
</calcChain>
</file>

<file path=xl/sharedStrings.xml><?xml version="1.0" encoding="utf-8"?>
<sst xmlns="http://schemas.openxmlformats.org/spreadsheetml/2006/main" count="135" uniqueCount="88">
  <si>
    <t>No Akun</t>
  </si>
  <si>
    <t>Nama Akun</t>
  </si>
  <si>
    <t>Side</t>
  </si>
  <si>
    <t>Amount</t>
  </si>
  <si>
    <t>1-1100</t>
  </si>
  <si>
    <t>1-1200</t>
  </si>
  <si>
    <t>1-1300</t>
  </si>
  <si>
    <t>1-1310</t>
  </si>
  <si>
    <t>1-1400</t>
  </si>
  <si>
    <t>1-1500</t>
  </si>
  <si>
    <t>1-1510</t>
  </si>
  <si>
    <t>1-1511</t>
  </si>
  <si>
    <t>1-1600</t>
  </si>
  <si>
    <t>1-1610</t>
  </si>
  <si>
    <t>1-1700</t>
  </si>
  <si>
    <t>1-1710</t>
  </si>
  <si>
    <t>2-2100</t>
  </si>
  <si>
    <t>3-3000</t>
  </si>
  <si>
    <t>4-4000</t>
  </si>
  <si>
    <t>4-4100</t>
  </si>
  <si>
    <t>5-5000</t>
  </si>
  <si>
    <t>6-6100</t>
  </si>
  <si>
    <t>6-6200</t>
  </si>
  <si>
    <t>6-6300</t>
  </si>
  <si>
    <t>6-6400</t>
  </si>
  <si>
    <t>6-6500</t>
  </si>
  <si>
    <t>6-6600</t>
  </si>
  <si>
    <t>6-6700</t>
  </si>
  <si>
    <t>6-6800</t>
  </si>
  <si>
    <t>Kas</t>
  </si>
  <si>
    <t>Piutang usaha</t>
  </si>
  <si>
    <t>Persediaan barang dagang</t>
  </si>
  <si>
    <t>Persediaan stok madu gudang</t>
  </si>
  <si>
    <t>Perlengkapan toko</t>
  </si>
  <si>
    <t>Tanah</t>
  </si>
  <si>
    <t>Bangunan</t>
  </si>
  <si>
    <t>Akumulasi penyusutan bangunan</t>
  </si>
  <si>
    <t>Kendaraan</t>
  </si>
  <si>
    <t>Akumulasi penyusutan kendaraan</t>
  </si>
  <si>
    <t>Peralatan</t>
  </si>
  <si>
    <t>Akumulasi penyusutan peralatan</t>
  </si>
  <si>
    <t>Hutang dagang</t>
  </si>
  <si>
    <t>Modal</t>
  </si>
  <si>
    <t>Penjualan barang dagang</t>
  </si>
  <si>
    <t>Retur penjualan</t>
  </si>
  <si>
    <t>Harga pokok penjualan</t>
  </si>
  <si>
    <t>Beban telepon, air, dan listrik</t>
  </si>
  <si>
    <t>Beban perlengkapan</t>
  </si>
  <si>
    <t>Beban pemeliharaan</t>
  </si>
  <si>
    <t>Beban gaji produksi</t>
  </si>
  <si>
    <t>Beban gaji pemeliharaan lebah</t>
  </si>
  <si>
    <t>Beban transportasi pemeliharaan lebah</t>
  </si>
  <si>
    <t>Beban transportasi penjualan lebah</t>
  </si>
  <si>
    <t>Beban depresiasi aktiva tetap</t>
  </si>
  <si>
    <t>Debit</t>
  </si>
  <si>
    <t>Kredit</t>
  </si>
  <si>
    <t>Asset</t>
  </si>
  <si>
    <t>Cost (Rp)</t>
  </si>
  <si>
    <t>Useful life (years)</t>
  </si>
  <si>
    <t>Current period depreciation (Rp)</t>
  </si>
  <si>
    <t>Total (current period)</t>
  </si>
  <si>
    <t>PENJUALAN</t>
  </si>
  <si>
    <t>Penjualan Barang Dagang</t>
  </si>
  <si>
    <t>Retur Penjualan</t>
  </si>
  <si>
    <t>Penjualan Bersih</t>
  </si>
  <si>
    <t>Harga Pokok Penjualan</t>
  </si>
  <si>
    <t>LABA KOTOR</t>
  </si>
  <si>
    <t>BEBAN OPERASIONAL</t>
  </si>
  <si>
    <t>Total Beban Operasional</t>
  </si>
  <si>
    <t>LABA BERSIH</t>
  </si>
  <si>
    <t>AKTIVA</t>
  </si>
  <si>
    <t>Total Aset Lancar</t>
  </si>
  <si>
    <t>ASET TETAP</t>
  </si>
  <si>
    <t>ASET LANCAR</t>
  </si>
  <si>
    <t>Total Aset Tetap</t>
  </si>
  <si>
    <t>KEWAJIBAN DAN EKUITAS</t>
  </si>
  <si>
    <t xml:space="preserve">KEWAJIBAN </t>
  </si>
  <si>
    <t>Hutang Dagang</t>
  </si>
  <si>
    <t>Total Kewajiban</t>
  </si>
  <si>
    <t>EKUITAS</t>
  </si>
  <si>
    <t>Modal Awal</t>
  </si>
  <si>
    <t>Laba Bersih</t>
  </si>
  <si>
    <t>Total Ekuitas</t>
  </si>
  <si>
    <t>TOTAL ASET</t>
  </si>
  <si>
    <t>TOTAL KEWAJIBAN DAN EKUITAS</t>
  </si>
  <si>
    <t>KETERANGAN</t>
  </si>
  <si>
    <t>Saldo Modal Akhir</t>
  </si>
  <si>
    <t>Saldo Modal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</si>
</sst>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??_-;_-@_-"/>
    <numFmt numFmtId="165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165" fontId="0" fillId="0" borderId="2" xfId="0" applyNumberFormat="1" applyBorder="1"/>
    <xf numFmtId="0" fontId="0" fillId="0" borderId="3" xfId="0" quotePrefix="1" applyBorder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99" workbookViewId="0">
      <selection activeCell="A5" sqref="A5:XFD5"/>
    </sheetView>
  </sheetViews>
  <sheetFormatPr defaultRowHeight="14.5" x14ac:dyDescent="0.35"/>
  <cols>
    <col min="2" max="2" width="34.1796875" bestFit="1" customWidth="1"/>
    <col min="4" max="5" width="20.36328125" style="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0" t="s">
        <v>3</v>
      </c>
      <c r="E1" s="10"/>
    </row>
    <row r="2" spans="1:6" x14ac:dyDescent="0.35">
      <c r="A2" s="2" t="s">
        <v>4</v>
      </c>
      <c r="B2" s="2" t="s">
        <v>29</v>
      </c>
      <c r="C2" s="2" t="s">
        <v>54</v>
      </c>
      <c r="D2" s="3">
        <v>100000000</v>
      </c>
      <c r="E2" s="3"/>
    </row>
    <row r="3" spans="1:6" x14ac:dyDescent="0.35">
      <c r="A3" s="2" t="s">
        <v>5</v>
      </c>
      <c r="B3" s="2" t="s">
        <v>30</v>
      </c>
      <c r="C3" s="2" t="s">
        <v>54</v>
      </c>
      <c r="D3" s="3">
        <v>8640000</v>
      </c>
      <c r="E3" s="3"/>
    </row>
    <row r="4" spans="1:6" x14ac:dyDescent="0.35">
      <c r="A4" s="2" t="s">
        <v>6</v>
      </c>
      <c r="B4" s="2" t="s">
        <v>31</v>
      </c>
      <c r="C4" s="2" t="s">
        <v>54</v>
      </c>
      <c r="D4" s="3">
        <v>34390000</v>
      </c>
      <c r="E4" s="3"/>
    </row>
    <row r="5" spans="1:6" x14ac:dyDescent="0.35">
      <c r="A5" s="2" t="s">
        <v>7</v>
      </c>
      <c r="B5" s="2" t="s">
        <v>32</v>
      </c>
      <c r="C5" s="2" t="s">
        <v>54</v>
      </c>
      <c r="D5" s="3">
        <v>563470001</v>
      </c>
      <c r="E5" s="3"/>
    </row>
    <row r="6" spans="1:6" x14ac:dyDescent="0.35">
      <c r="A6" s="2" t="s">
        <v>8</v>
      </c>
      <c r="B6" s="2" t="s">
        <v>33</v>
      </c>
      <c r="C6" s="2" t="s">
        <v>54</v>
      </c>
      <c r="D6" s="3">
        <v>41000000</v>
      </c>
      <c r="E6" s="3"/>
    </row>
    <row r="7" spans="1:6" x14ac:dyDescent="0.35">
      <c r="A7" s="2" t="s">
        <v>9</v>
      </c>
      <c r="B7" s="2" t="s">
        <v>34</v>
      </c>
      <c r="C7" s="2" t="s">
        <v>54</v>
      </c>
      <c r="D7" s="3">
        <v>3600000000</v>
      </c>
      <c r="E7" s="3"/>
    </row>
    <row r="8" spans="1:6" x14ac:dyDescent="0.35">
      <c r="A8" s="2" t="s">
        <v>10</v>
      </c>
      <c r="B8" s="2" t="s">
        <v>35</v>
      </c>
      <c r="C8" s="2" t="s">
        <v>54</v>
      </c>
      <c r="D8" s="3">
        <v>150000000</v>
      </c>
      <c r="E8" s="3"/>
    </row>
    <row r="9" spans="1:6" x14ac:dyDescent="0.35">
      <c r="A9" s="2" t="s">
        <v>11</v>
      </c>
      <c r="B9" s="2" t="s">
        <v>36</v>
      </c>
      <c r="C9" s="2" t="s">
        <v>55</v>
      </c>
      <c r="D9" s="3"/>
      <c r="E9" s="3">
        <v>36000000</v>
      </c>
    </row>
    <row r="10" spans="1:6" x14ac:dyDescent="0.35">
      <c r="A10" s="2" t="s">
        <v>12</v>
      </c>
      <c r="B10" s="2" t="s">
        <v>37</v>
      </c>
      <c r="C10" s="2" t="s">
        <v>54</v>
      </c>
      <c r="D10" s="3">
        <v>250000000</v>
      </c>
      <c r="E10" s="3"/>
    </row>
    <row r="11" spans="1:6" x14ac:dyDescent="0.35">
      <c r="A11" s="2" t="s">
        <v>13</v>
      </c>
      <c r="B11" s="2" t="s">
        <v>38</v>
      </c>
      <c r="C11" s="2" t="s">
        <v>55</v>
      </c>
      <c r="D11" s="3"/>
      <c r="E11" s="3">
        <v>108333333.34</v>
      </c>
      <c r="F11" s="9"/>
    </row>
    <row r="12" spans="1:6" x14ac:dyDescent="0.35">
      <c r="A12" s="2" t="s">
        <v>14</v>
      </c>
      <c r="B12" s="2" t="s">
        <v>39</v>
      </c>
      <c r="C12" s="2" t="s">
        <v>54</v>
      </c>
      <c r="D12" s="3">
        <v>80000000</v>
      </c>
      <c r="E12" s="3"/>
    </row>
    <row r="13" spans="1:6" x14ac:dyDescent="0.35">
      <c r="A13" s="2" t="s">
        <v>15</v>
      </c>
      <c r="B13" s="2" t="s">
        <v>40</v>
      </c>
      <c r="C13" s="2" t="s">
        <v>55</v>
      </c>
      <c r="D13" s="3"/>
      <c r="E13" s="3">
        <v>48000000</v>
      </c>
    </row>
    <row r="14" spans="1:6" x14ac:dyDescent="0.35">
      <c r="A14" s="2" t="s">
        <v>16</v>
      </c>
      <c r="B14" s="2" t="s">
        <v>41</v>
      </c>
      <c r="C14" s="2" t="s">
        <v>55</v>
      </c>
      <c r="D14" s="3"/>
      <c r="E14" s="3">
        <v>17340000</v>
      </c>
    </row>
    <row r="15" spans="1:6" x14ac:dyDescent="0.35">
      <c r="A15" s="2" t="s">
        <v>17</v>
      </c>
      <c r="B15" s="2" t="s">
        <v>42</v>
      </c>
      <c r="C15" s="2" t="s">
        <v>55</v>
      </c>
      <c r="D15" s="3"/>
      <c r="E15" s="3">
        <v>4573343333.3299999</v>
      </c>
    </row>
    <row r="16" spans="1:6" x14ac:dyDescent="0.35">
      <c r="A16" s="2" t="s">
        <v>18</v>
      </c>
      <c r="B16" s="2" t="s">
        <v>43</v>
      </c>
      <c r="C16" s="2" t="s">
        <v>55</v>
      </c>
      <c r="D16" s="3"/>
      <c r="E16" s="3">
        <v>185000000</v>
      </c>
    </row>
    <row r="17" spans="1:5" x14ac:dyDescent="0.35">
      <c r="A17" s="2" t="s">
        <v>19</v>
      </c>
      <c r="B17" s="2" t="s">
        <v>44</v>
      </c>
      <c r="C17" s="2" t="s">
        <v>54</v>
      </c>
      <c r="D17" s="3">
        <v>2700000</v>
      </c>
      <c r="E17" s="3"/>
    </row>
    <row r="18" spans="1:5" x14ac:dyDescent="0.35">
      <c r="A18" s="2" t="s">
        <v>20</v>
      </c>
      <c r="B18" s="2" t="s">
        <v>45</v>
      </c>
      <c r="C18" s="2" t="s">
        <v>54</v>
      </c>
      <c r="D18" s="3">
        <v>34390000</v>
      </c>
    </row>
    <row r="19" spans="1:5" x14ac:dyDescent="0.35">
      <c r="A19" s="2" t="s">
        <v>21</v>
      </c>
      <c r="B19" s="2" t="s">
        <v>46</v>
      </c>
      <c r="C19" s="2" t="s">
        <v>54</v>
      </c>
      <c r="D19" s="3">
        <v>300000</v>
      </c>
      <c r="E19" s="3"/>
    </row>
    <row r="20" spans="1:5" x14ac:dyDescent="0.35">
      <c r="A20" s="2" t="s">
        <v>22</v>
      </c>
      <c r="B20" s="2" t="s">
        <v>47</v>
      </c>
      <c r="C20" s="2" t="s">
        <v>54</v>
      </c>
      <c r="D20" s="3">
        <v>11460000</v>
      </c>
      <c r="E20" s="3"/>
    </row>
    <row r="21" spans="1:5" x14ac:dyDescent="0.35">
      <c r="A21" s="2" t="s">
        <v>23</v>
      </c>
      <c r="B21" s="2" t="s">
        <v>48</v>
      </c>
      <c r="C21" s="2" t="s">
        <v>54</v>
      </c>
      <c r="D21" s="3">
        <v>6000000</v>
      </c>
      <c r="E21" s="3"/>
    </row>
    <row r="22" spans="1:5" x14ac:dyDescent="0.35">
      <c r="A22" s="2" t="s">
        <v>24</v>
      </c>
      <c r="B22" s="2" t="s">
        <v>49</v>
      </c>
      <c r="C22" s="2" t="s">
        <v>54</v>
      </c>
      <c r="D22" s="3">
        <v>14000000</v>
      </c>
      <c r="E22" s="3"/>
    </row>
    <row r="23" spans="1:5" x14ac:dyDescent="0.35">
      <c r="A23" s="2" t="s">
        <v>25</v>
      </c>
      <c r="B23" s="2" t="s">
        <v>50</v>
      </c>
      <c r="C23" s="2" t="s">
        <v>54</v>
      </c>
      <c r="D23" s="3">
        <v>1000000</v>
      </c>
      <c r="E23" s="3"/>
    </row>
    <row r="24" spans="1:5" x14ac:dyDescent="0.35">
      <c r="A24" s="2" t="s">
        <v>26</v>
      </c>
      <c r="B24" s="2" t="s">
        <v>51</v>
      </c>
      <c r="C24" s="2" t="s">
        <v>54</v>
      </c>
      <c r="D24" s="3">
        <v>5000000</v>
      </c>
      <c r="E24" s="3"/>
    </row>
    <row r="25" spans="1:5" x14ac:dyDescent="0.35">
      <c r="A25" s="2" t="s">
        <v>27</v>
      </c>
      <c r="B25" s="2" t="s">
        <v>52</v>
      </c>
      <c r="C25" s="2" t="s">
        <v>54</v>
      </c>
      <c r="D25" s="3">
        <v>2000000</v>
      </c>
      <c r="E25" s="3"/>
    </row>
    <row r="26" spans="1:5" x14ac:dyDescent="0.35">
      <c r="A26" s="2" t="s">
        <v>28</v>
      </c>
      <c r="B26" s="2" t="s">
        <v>53</v>
      </c>
      <c r="C26" s="2" t="s">
        <v>54</v>
      </c>
      <c r="D26" s="3">
        <v>63666666.670000002</v>
      </c>
      <c r="E26" s="3"/>
    </row>
    <row r="27" spans="1:5" x14ac:dyDescent="0.35">
      <c r="A27" s="2"/>
      <c r="B27" s="2"/>
      <c r="C27" s="2"/>
      <c r="D27" s="3">
        <f>SUM(D2:D26)</f>
        <v>4968016667.6700001</v>
      </c>
      <c r="E27" s="3">
        <f>SUM(E2:E26)</f>
        <v>4968016666.6700001</v>
      </c>
    </row>
  </sheetData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6826-A528-4B34-8706-614A23BCD73B}">
  <dimension ref="A1:C19"/>
  <sheetViews>
    <sheetView workbookViewId="0">
      <selection sqref="A1:C19"/>
    </sheetView>
  </sheetViews>
  <sheetFormatPr defaultRowHeight="14.5" x14ac:dyDescent="0.35"/>
  <cols>
    <col min="1" max="1" width="33.36328125" bestFit="1" customWidth="1"/>
    <col min="2" max="3" width="14.6328125" style="5" bestFit="1" customWidth="1"/>
  </cols>
  <sheetData>
    <row r="1" spans="1:3" x14ac:dyDescent="0.35">
      <c r="A1" t="s">
        <v>61</v>
      </c>
    </row>
    <row r="2" spans="1:3" x14ac:dyDescent="0.35">
      <c r="A2" t="s">
        <v>62</v>
      </c>
      <c r="B2" s="5">
        <f>'daftar saldo awal'!E16</f>
        <v>185000000</v>
      </c>
    </row>
    <row r="3" spans="1:3" x14ac:dyDescent="0.35">
      <c r="A3" t="s">
        <v>63</v>
      </c>
      <c r="B3" s="5">
        <f>'daftar saldo awal'!D17</f>
        <v>2700000</v>
      </c>
    </row>
    <row r="4" spans="1:3" x14ac:dyDescent="0.35">
      <c r="A4" t="s">
        <v>64</v>
      </c>
      <c r="C4" s="5">
        <f>B2-B3</f>
        <v>182300000</v>
      </c>
    </row>
    <row r="6" spans="1:3" x14ac:dyDescent="0.35">
      <c r="A6" t="s">
        <v>65</v>
      </c>
      <c r="C6" s="5">
        <f>'daftar saldo awal'!D18</f>
        <v>34390000</v>
      </c>
    </row>
    <row r="7" spans="1:3" x14ac:dyDescent="0.35">
      <c r="A7" t="s">
        <v>66</v>
      </c>
      <c r="C7" s="5">
        <f>C4-C6</f>
        <v>147910000</v>
      </c>
    </row>
    <row r="9" spans="1:3" x14ac:dyDescent="0.35">
      <c r="A9" t="s">
        <v>67</v>
      </c>
    </row>
    <row r="10" spans="1:3" x14ac:dyDescent="0.35">
      <c r="A10" t="s">
        <v>46</v>
      </c>
      <c r="B10" s="4">
        <v>300000</v>
      </c>
    </row>
    <row r="11" spans="1:3" x14ac:dyDescent="0.35">
      <c r="A11" t="s">
        <v>47</v>
      </c>
      <c r="B11" s="4">
        <v>11460000</v>
      </c>
    </row>
    <row r="12" spans="1:3" x14ac:dyDescent="0.35">
      <c r="A12" t="s">
        <v>48</v>
      </c>
      <c r="B12" s="4">
        <v>6000000</v>
      </c>
    </row>
    <row r="13" spans="1:3" x14ac:dyDescent="0.35">
      <c r="A13" t="s">
        <v>49</v>
      </c>
      <c r="B13" s="4">
        <v>14000000</v>
      </c>
    </row>
    <row r="14" spans="1:3" x14ac:dyDescent="0.35">
      <c r="A14" t="s">
        <v>50</v>
      </c>
      <c r="B14" s="4">
        <v>1000000</v>
      </c>
    </row>
    <row r="15" spans="1:3" x14ac:dyDescent="0.35">
      <c r="A15" t="s">
        <v>51</v>
      </c>
      <c r="B15" s="4">
        <v>5000000</v>
      </c>
    </row>
    <row r="16" spans="1:3" x14ac:dyDescent="0.35">
      <c r="A16" t="s">
        <v>52</v>
      </c>
      <c r="B16" s="4">
        <v>2000000</v>
      </c>
    </row>
    <row r="17" spans="1:3" x14ac:dyDescent="0.35">
      <c r="A17" t="s">
        <v>53</v>
      </c>
      <c r="B17" s="4">
        <v>63666666.670000002</v>
      </c>
    </row>
    <row r="18" spans="1:3" x14ac:dyDescent="0.35">
      <c r="A18" t="s">
        <v>68</v>
      </c>
      <c r="C18" s="8">
        <f>SUM(B10:B17)</f>
        <v>103426666.67</v>
      </c>
    </row>
    <row r="19" spans="1:3" x14ac:dyDescent="0.35">
      <c r="A19" s="6" t="s">
        <v>69</v>
      </c>
      <c r="B19" s="7"/>
      <c r="C19" s="7">
        <f>C7-C18</f>
        <v>44483333.329999998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9BB2-8F20-4113-B8EE-8D326AEA5B1E}">
  <dimension ref="A1:B4"/>
  <sheetViews>
    <sheetView workbookViewId="0">
      <selection sqref="A1:B4"/>
    </sheetView>
  </sheetViews>
  <sheetFormatPr defaultRowHeight="14.5" x14ac:dyDescent="0.35"/>
  <cols>
    <col min="1" max="1" width="16.54296875" bestFit="1" customWidth="1"/>
    <col min="2" max="2" width="18.81640625" style="5" bestFit="1" customWidth="1"/>
  </cols>
  <sheetData>
    <row r="1" spans="1:2" x14ac:dyDescent="0.35">
      <c r="A1" t="s">
        <v>85</v>
      </c>
    </row>
    <row r="2" spans="1:2" x14ac:dyDescent="0.35">
      <c r="A2" t="s">
        <v>87</v>
      </c>
      <c r="B2" s="5">
        <f>'daftar saldo awal'!E15</f>
        <v>4573343333.3299999</v>
      </c>
    </row>
    <row r="3" spans="1:2" x14ac:dyDescent="0.35">
      <c r="A3" t="s">
        <v>81</v>
      </c>
      <c r="B3" s="5">
        <f>'laba rugi'!C19</f>
        <v>44483333.329999998</v>
      </c>
    </row>
    <row r="4" spans="1:2" x14ac:dyDescent="0.35">
      <c r="A4" s="6" t="s">
        <v>86</v>
      </c>
      <c r="B4" s="7">
        <f>B2+B3</f>
        <v>4617826666.6599998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83AC-6EA1-42AB-BE13-37538358AD55}">
  <dimension ref="A1:C31"/>
  <sheetViews>
    <sheetView topLeftCell="A15" workbookViewId="0">
      <selection activeCell="B28" sqref="B28"/>
    </sheetView>
  </sheetViews>
  <sheetFormatPr defaultRowHeight="14.5" x14ac:dyDescent="0.35"/>
  <cols>
    <col min="1" max="1" width="28.453125" bestFit="1" customWidth="1"/>
    <col min="2" max="2" width="17.1796875" style="5" bestFit="1" customWidth="1"/>
    <col min="3" max="3" width="16.36328125" style="5" bestFit="1" customWidth="1"/>
  </cols>
  <sheetData>
    <row r="1" spans="1:3" x14ac:dyDescent="0.35">
      <c r="A1" s="6" t="s">
        <v>70</v>
      </c>
    </row>
    <row r="2" spans="1:3" x14ac:dyDescent="0.35">
      <c r="A2" s="6" t="s">
        <v>73</v>
      </c>
    </row>
    <row r="3" spans="1:3" x14ac:dyDescent="0.35">
      <c r="A3" t="s">
        <v>29</v>
      </c>
      <c r="B3" s="5">
        <f>'daftar saldo awal'!D2</f>
        <v>100000000</v>
      </c>
    </row>
    <row r="4" spans="1:3" x14ac:dyDescent="0.35">
      <c r="A4" t="s">
        <v>30</v>
      </c>
      <c r="B4" s="5">
        <f>'daftar saldo awal'!D3</f>
        <v>8640000</v>
      </c>
    </row>
    <row r="5" spans="1:3" x14ac:dyDescent="0.35">
      <c r="A5" t="s">
        <v>31</v>
      </c>
      <c r="B5" s="5">
        <f>'daftar saldo awal'!D4</f>
        <v>34390000</v>
      </c>
    </row>
    <row r="6" spans="1:3" x14ac:dyDescent="0.35">
      <c r="A6" t="s">
        <v>32</v>
      </c>
      <c r="B6" s="5">
        <f>'daftar saldo awal'!D5</f>
        <v>563470001</v>
      </c>
    </row>
    <row r="7" spans="1:3" x14ac:dyDescent="0.35">
      <c r="A7" t="s">
        <v>33</v>
      </c>
      <c r="B7" s="5">
        <f>'daftar saldo awal'!D6</f>
        <v>41000000</v>
      </c>
    </row>
    <row r="8" spans="1:3" x14ac:dyDescent="0.35">
      <c r="A8" s="6" t="s">
        <v>71</v>
      </c>
      <c r="B8" s="7"/>
      <c r="C8" s="7">
        <f>SUM(B3:B7)</f>
        <v>747500001</v>
      </c>
    </row>
    <row r="10" spans="1:3" x14ac:dyDescent="0.35">
      <c r="A10" s="6" t="s">
        <v>72</v>
      </c>
    </row>
    <row r="11" spans="1:3" x14ac:dyDescent="0.35">
      <c r="A11" t="s">
        <v>34</v>
      </c>
      <c r="B11" s="5">
        <f>'daftar saldo awal'!D7</f>
        <v>3600000000</v>
      </c>
    </row>
    <row r="12" spans="1:3" x14ac:dyDescent="0.35">
      <c r="A12" t="s">
        <v>35</v>
      </c>
      <c r="B12" s="5">
        <f>'daftar saldo awal'!D8</f>
        <v>150000000</v>
      </c>
    </row>
    <row r="13" spans="1:3" x14ac:dyDescent="0.35">
      <c r="A13" t="s">
        <v>36</v>
      </c>
      <c r="B13" s="5">
        <f>-'daftar saldo awal'!E9</f>
        <v>-36000000</v>
      </c>
    </row>
    <row r="14" spans="1:3" x14ac:dyDescent="0.35">
      <c r="A14" t="s">
        <v>37</v>
      </c>
      <c r="B14" s="5">
        <f>'daftar saldo awal'!D10</f>
        <v>250000000</v>
      </c>
    </row>
    <row r="15" spans="1:3" x14ac:dyDescent="0.35">
      <c r="A15" t="s">
        <v>38</v>
      </c>
      <c r="B15" s="5">
        <f>-'daftar saldo awal'!E11</f>
        <v>-108333333.34</v>
      </c>
    </row>
    <row r="16" spans="1:3" x14ac:dyDescent="0.35">
      <c r="A16" t="s">
        <v>39</v>
      </c>
      <c r="B16" s="5">
        <f>'daftar saldo awal'!D12</f>
        <v>80000000</v>
      </c>
    </row>
    <row r="17" spans="1:3" x14ac:dyDescent="0.35">
      <c r="A17" t="s">
        <v>40</v>
      </c>
      <c r="B17" s="5">
        <f>-'daftar saldo awal'!E13</f>
        <v>-48000000</v>
      </c>
    </row>
    <row r="18" spans="1:3" x14ac:dyDescent="0.35">
      <c r="A18" s="6" t="s">
        <v>74</v>
      </c>
      <c r="B18" s="7"/>
      <c r="C18" s="7">
        <f>SUM(B11:B17)</f>
        <v>3887666666.6599998</v>
      </c>
    </row>
    <row r="19" spans="1:3" x14ac:dyDescent="0.35">
      <c r="A19" s="6" t="s">
        <v>83</v>
      </c>
      <c r="B19" s="7"/>
      <c r="C19" s="7">
        <f>C8+C18</f>
        <v>4635166667.6599998</v>
      </c>
    </row>
    <row r="21" spans="1:3" x14ac:dyDescent="0.35">
      <c r="A21" s="6" t="s">
        <v>75</v>
      </c>
    </row>
    <row r="22" spans="1:3" x14ac:dyDescent="0.35">
      <c r="A22" s="6" t="s">
        <v>76</v>
      </c>
    </row>
    <row r="23" spans="1:3" x14ac:dyDescent="0.35">
      <c r="A23" t="s">
        <v>77</v>
      </c>
      <c r="B23" s="5">
        <f>'daftar saldo awal'!E14</f>
        <v>17340000</v>
      </c>
    </row>
    <row r="24" spans="1:3" x14ac:dyDescent="0.35">
      <c r="A24" s="6" t="s">
        <v>78</v>
      </c>
      <c r="B24" s="7"/>
      <c r="C24" s="7">
        <f>SUM(B23)</f>
        <v>17340000</v>
      </c>
    </row>
    <row r="26" spans="1:3" x14ac:dyDescent="0.35">
      <c r="A26" s="6" t="s">
        <v>79</v>
      </c>
    </row>
    <row r="27" spans="1:3" x14ac:dyDescent="0.35">
      <c r="A27" t="s">
        <v>80</v>
      </c>
      <c r="B27" s="5">
        <f>'daftar saldo awal'!E15</f>
        <v>4573343333.3299999</v>
      </c>
    </row>
    <row r="28" spans="1:3" x14ac:dyDescent="0.35">
      <c r="A28" t="s">
        <v>81</v>
      </c>
      <c r="B28" s="5">
        <f>'laba rugi'!C19</f>
        <v>44483333.329999998</v>
      </c>
    </row>
    <row r="29" spans="1:3" x14ac:dyDescent="0.35">
      <c r="A29" s="6" t="s">
        <v>82</v>
      </c>
      <c r="B29" s="7"/>
      <c r="C29" s="7">
        <f>SUM(B27:B28)</f>
        <v>4617826666.6599998</v>
      </c>
    </row>
    <row r="31" spans="1:3" x14ac:dyDescent="0.35">
      <c r="A31" s="6" t="s">
        <v>84</v>
      </c>
      <c r="B31" s="7"/>
      <c r="C31" s="7">
        <f>C29+C24</f>
        <v>4635166666.6599998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7" sqref="D7"/>
    </sheetView>
  </sheetViews>
  <sheetFormatPr defaultRowHeight="14.5" x14ac:dyDescent="0.35"/>
  <cols>
    <col min="1" max="1" width="22.81640625" customWidth="1"/>
    <col min="2" max="2" width="16.81640625" customWidth="1"/>
    <col min="3" max="3" width="15.81640625" customWidth="1"/>
    <col min="4" max="4" width="28.453125" bestFit="1" customWidth="1"/>
  </cols>
  <sheetData>
    <row r="1" spans="1:4" x14ac:dyDescent="0.3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35">
      <c r="A2" t="s">
        <v>35</v>
      </c>
      <c r="B2">
        <v>150000000</v>
      </c>
      <c r="C2">
        <v>25</v>
      </c>
      <c r="D2">
        <v>6000000</v>
      </c>
    </row>
    <row r="3" spans="1:4" x14ac:dyDescent="0.35">
      <c r="A3" t="s">
        <v>37</v>
      </c>
      <c r="B3">
        <v>250000000</v>
      </c>
      <c r="C3">
        <v>6</v>
      </c>
      <c r="D3">
        <v>41666666.670000002</v>
      </c>
    </row>
    <row r="4" spans="1:4" x14ac:dyDescent="0.35">
      <c r="A4" t="s">
        <v>39</v>
      </c>
      <c r="B4">
        <v>80000000</v>
      </c>
      <c r="C4">
        <v>5</v>
      </c>
      <c r="D4">
        <v>16000000</v>
      </c>
    </row>
    <row r="5" spans="1:4" x14ac:dyDescent="0.35">
      <c r="A5" t="s">
        <v>60</v>
      </c>
      <c r="D5">
        <v>63666666.670000002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daftar saldo awal</vt:lpstr>
      <vt:lpstr>laba rugi</vt:lpstr>
      <vt:lpstr>perubahan ekuitas</vt:lpstr>
      <vt:lpstr>posisi keuangan</vt:lpstr>
      <vt:lpstr>Depreciation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Anggi Putri</dc:creator>
  <cp:lastModifiedBy>reyhan nazhminazhif</cp:lastModifiedBy>
  <dcterms:created xsi:type="dcterms:W3CDTF">2025-11-19T09:05:51Z</dcterms:created>
  <dcterms:modified xsi:type="dcterms:W3CDTF">2025-11-26T07:44:41Z</dcterms:modified>
</cp:coreProperties>
</file>